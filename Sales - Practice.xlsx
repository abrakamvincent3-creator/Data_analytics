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ad45f958b1cdc3/Pictures/"/>
    </mc:Choice>
  </mc:AlternateContent>
  <xr:revisionPtr revIDLastSave="2" documentId="8_{40F2E496-D455-4076-B7C4-7F8C61DE2813}" xr6:coauthVersionLast="47" xr6:coauthVersionMax="47" xr10:uidLastSave="{EF7B25CE-4A30-472B-9CC5-6F688EB0356D}"/>
  <bookViews>
    <workbookView xWindow="-108" yWindow="-108" windowWidth="23256" windowHeight="12456" xr2:uid="{33063728-8C93-42AC-BE5D-8B76F1AEE4FB}"/>
  </bookViews>
  <sheets>
    <sheet name="Sheet2" sheetId="2" r:id="rId1"/>
    <sheet name="Sheet1" sheetId="1" r:id="rId2"/>
  </sheets>
  <definedNames>
    <definedName name="NativeTimeline_Date">#N/A</definedName>
  </definedNames>
  <calcPr calcId="191029"/>
  <pivotCaches>
    <pivotCache cacheId="0" r:id="rId3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44" i="1" l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<sst xmlns="http://schemas.openxmlformats.org/spreadsheetml/2006/main" count="233" uniqueCount="112">
  <si>
    <t>Date</t>
  </si>
  <si>
    <t>Customer Name</t>
  </si>
  <si>
    <t>Age</t>
  </si>
  <si>
    <t>Gender</t>
  </si>
  <si>
    <t>Region</t>
  </si>
  <si>
    <t>Product Category</t>
  </si>
  <si>
    <t>Product Name</t>
  </si>
  <si>
    <t>Quantity</t>
  </si>
  <si>
    <t>Price (USD)</t>
  </si>
  <si>
    <t>Revenue (USD)</t>
  </si>
  <si>
    <t>Alice Smith</t>
  </si>
  <si>
    <t>Female</t>
  </si>
  <si>
    <t>North</t>
  </si>
  <si>
    <t>Electronics</t>
  </si>
  <si>
    <t>Smartphone</t>
  </si>
  <si>
    <t>John Doe</t>
  </si>
  <si>
    <t>Male</t>
  </si>
  <si>
    <t>South</t>
  </si>
  <si>
    <t>Fashion</t>
  </si>
  <si>
    <t>Sneakers</t>
  </si>
  <si>
    <t>Maria Gonzalez</t>
  </si>
  <si>
    <t>West</t>
  </si>
  <si>
    <t>Home &amp; Kitchen</t>
  </si>
  <si>
    <t>Blender</t>
  </si>
  <si>
    <t>Michael Brown</t>
  </si>
  <si>
    <t>East</t>
  </si>
  <si>
    <t>Laptop</t>
  </si>
  <si>
    <t>Sarah Johnson</t>
  </si>
  <si>
    <t>Beauty</t>
  </si>
  <si>
    <t>Skincare Kit</t>
  </si>
  <si>
    <t>Chris Lee</t>
  </si>
  <si>
    <t>Smartwatch</t>
  </si>
  <si>
    <t>Emily Davis</t>
  </si>
  <si>
    <t>Jacket</t>
  </si>
  <si>
    <t>James Taylor</t>
  </si>
  <si>
    <t>Microwave Oven</t>
  </si>
  <si>
    <t>Olivia Wilson</t>
  </si>
  <si>
    <t>Headphones</t>
  </si>
  <si>
    <t>Ethan Moore</t>
  </si>
  <si>
    <t>Perfume</t>
  </si>
  <si>
    <t>Sophia Martin</t>
  </si>
  <si>
    <t>Handbag</t>
  </si>
  <si>
    <t>Daniel White</t>
  </si>
  <si>
    <t>Tablet</t>
  </si>
  <si>
    <t>Chloe Thomas</t>
  </si>
  <si>
    <t>Coffee Maker</t>
  </si>
  <si>
    <t>Benjamin Clark</t>
  </si>
  <si>
    <t>Watch</t>
  </si>
  <si>
    <t>Isabella Scott</t>
  </si>
  <si>
    <t>Hair Dryer</t>
  </si>
  <si>
    <t>William Hall</t>
  </si>
  <si>
    <t>Gaming Console</t>
  </si>
  <si>
    <t>Grace Adams</t>
  </si>
  <si>
    <t>Sunglasses</t>
  </si>
  <si>
    <t>Mason Baker</t>
  </si>
  <si>
    <t>Camera</t>
  </si>
  <si>
    <t>Ella Parker</t>
  </si>
  <si>
    <t>Air Fryer</t>
  </si>
  <si>
    <t>Lucas Phillips</t>
  </si>
  <si>
    <t>Smart Speaker</t>
  </si>
  <si>
    <t>Zoe Mitchell</t>
  </si>
  <si>
    <t>Makeup Set</t>
  </si>
  <si>
    <t>Henry Carter</t>
  </si>
  <si>
    <t>Sports Shoes</t>
  </si>
  <si>
    <t>Lily Roberts</t>
  </si>
  <si>
    <t>Power Bank</t>
  </si>
  <si>
    <t>Jack Turner</t>
  </si>
  <si>
    <t>Vacuum Cleaner</t>
  </si>
  <si>
    <t>Natalie Lewis</t>
  </si>
  <si>
    <t>Bluetooth Speaker</t>
  </si>
  <si>
    <t>Andrew Young</t>
  </si>
  <si>
    <t>Beard Trimmer</t>
  </si>
  <si>
    <t>Victoria Walker</t>
  </si>
  <si>
    <t>Winter Coat</t>
  </si>
  <si>
    <t>Samuel King</t>
  </si>
  <si>
    <t>Drone</t>
  </si>
  <si>
    <t>Harper Wright</t>
  </si>
  <si>
    <t>Slow Cooker</t>
  </si>
  <si>
    <t>Elijah Hill</t>
  </si>
  <si>
    <t>External Hard Drive</t>
  </si>
  <si>
    <t>Scarlett Green</t>
  </si>
  <si>
    <t>Nail Polish Kit</t>
  </si>
  <si>
    <t>Dylan Edwards</t>
  </si>
  <si>
    <t>Wallet</t>
  </si>
  <si>
    <t>Audrey Cooper</t>
  </si>
  <si>
    <t>Monitor</t>
  </si>
  <si>
    <t>Nathan Perez</t>
  </si>
  <si>
    <t>Electric Shaver</t>
  </si>
  <si>
    <t>Stella Murphy</t>
  </si>
  <si>
    <t>Toaster Oven</t>
  </si>
  <si>
    <t>Owen Hughes</t>
  </si>
  <si>
    <t>Gaming Mouse</t>
  </si>
  <si>
    <t>Leah Richardson</t>
  </si>
  <si>
    <t>Scarf</t>
  </si>
  <si>
    <t>Caleb Morgan</t>
  </si>
  <si>
    <t>Wi-Fi Router</t>
  </si>
  <si>
    <t>Mila Bennett</t>
  </si>
  <si>
    <t>Body Lotion</t>
  </si>
  <si>
    <t>Julian Rivera</t>
  </si>
  <si>
    <t>Electric Kettle</t>
  </si>
  <si>
    <t>Layla Martinez</t>
  </si>
  <si>
    <t>Phone Case</t>
  </si>
  <si>
    <t>Isaac Foster</t>
  </si>
  <si>
    <t>T-Shirt</t>
  </si>
  <si>
    <t>Nora Bailey</t>
  </si>
  <si>
    <t>Lipstick</t>
  </si>
  <si>
    <t>(All)</t>
  </si>
  <si>
    <t>Column Labels</t>
  </si>
  <si>
    <t>Grand Total</t>
  </si>
  <si>
    <t>Row Labels</t>
  </si>
  <si>
    <t>Sum of Price (USD)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</si>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</sst>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1" fillId="0" borderId="1" xfId="0" applyNumberFormat="1" applyFont="1" applyBorder="1" applyAlignment="1"/>
    <xf numFmtId="0" fontId="1" fillId="0" borderId="1" xfId="0" applyFont="1" applyBorder="1" applyAlignment="1"/>
    <xf numFmtId="1" fontId="1" fillId="0" borderId="1" xfId="0" applyNumberFormat="1" applyFont="1" applyBorder="1" applyAlignment="1"/>
    <xf numFmtId="0" fontId="1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11/relationships/timelineCache" Target="timelineCaches/timeline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2541</xdr:colOff>
      <xdr:row>39</xdr:row>
      <xdr:rowOff>101601</xdr:rowOff>
    </xdr:from>
    <xdr:to>
      <xdr:col>17</xdr:col>
      <xdr:colOff>48508</xdr:colOff>
      <xdr:row>47</xdr:row>
      <xdr:rowOff>33868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Date">
              <a:extLst>
                <a:ext uri="{FF2B5EF4-FFF2-40B4-BE49-F238E27FC236}">
                  <a16:creationId xmlns:a16="http://schemas.microsoft.com/office/drawing/2014/main" id="{24622711-5381-48FF-DFAD-477C8D579D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48712" y="7318830"/>
              <a:ext cx="3257253" cy="14127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elcome" refreshedDate="45970.911601273147" createdVersion="8" refreshedVersion="8" minRefreshableVersion="3" recordCount="43" xr:uid="{B7DB4DFD-58D2-4376-9462-AA09A37AAB17}">
  <cacheSource type="worksheet">
    <worksheetSource ref="A1:J44" sheet="Sheet1"/>
  </cacheSource>
  <cacheFields count="10">
    <cacheField name="Date" numFmtId="164">
      <sharedItems containsSemiMixedTypes="0" containsNonDate="0" containsDate="1" containsString="0" minDate="2025-01-01T00:00:00" maxDate="2025-02-13T00:00:00" count="43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</sharedItems>
    </cacheField>
    <cacheField name="Customer Name" numFmtId="0">
      <sharedItems/>
    </cacheField>
    <cacheField name="Age" numFmtId="0">
      <sharedItems containsSemiMixedTypes="0" containsString="0" containsNumber="1" containsInteger="1" minValue="24" maxValue="45"/>
    </cacheField>
    <cacheField name="Gender" numFmtId="0">
      <sharedItems/>
    </cacheField>
    <cacheField name="Region" numFmtId="0">
      <sharedItems count="4">
        <s v="North"/>
        <s v="South"/>
        <s v="West"/>
        <s v="East"/>
      </sharedItems>
    </cacheField>
    <cacheField name="Product Category" numFmtId="0">
      <sharedItems count="4">
        <s v="Electronics"/>
        <s v="Fashion"/>
        <s v="Home &amp; Kitchen"/>
        <s v="Beauty"/>
      </sharedItems>
    </cacheField>
    <cacheField name="Product Name" numFmtId="0">
      <sharedItems count="43">
        <s v="Smartphone"/>
        <s v="Sneakers"/>
        <s v="Blender"/>
        <s v="Laptop"/>
        <s v="Skincare Kit"/>
        <s v="Smartwatch"/>
        <s v="Jacket"/>
        <s v="Microwave Oven"/>
        <s v="Headphones"/>
        <s v="Perfume"/>
        <s v="Handbag"/>
        <s v="Tablet"/>
        <s v="Coffee Maker"/>
        <s v="Watch"/>
        <s v="Hair Dryer"/>
        <s v="Gaming Console"/>
        <s v="Sunglasses"/>
        <s v="Camera"/>
        <s v="Air Fryer"/>
        <s v="Smart Speaker"/>
        <s v="Makeup Set"/>
        <s v="Sports Shoes"/>
        <s v="Power Bank"/>
        <s v="Vacuum Cleaner"/>
        <s v="Bluetooth Speaker"/>
        <s v="Beard Trimmer"/>
        <s v="Winter Coat"/>
        <s v="Drone"/>
        <s v="Slow Cooker"/>
        <s v="External Hard Drive"/>
        <s v="Nail Polish Kit"/>
        <s v="Wallet"/>
        <s v="Monitor"/>
        <s v="Electric Shaver"/>
        <s v="Toaster Oven"/>
        <s v="Gaming Mouse"/>
        <s v="Scarf"/>
        <s v="Wi-Fi Router"/>
        <s v="Body Lotion"/>
        <s v="Electric Kettle"/>
        <s v="Phone Case"/>
        <s v="T-Shirt"/>
        <s v="Lipstick"/>
      </sharedItems>
    </cacheField>
    <cacheField name="Quantity" numFmtId="0">
      <sharedItems containsSemiMixedTypes="0" containsString="0" containsNumber="1" containsInteger="1" minValue="1" maxValue="3"/>
    </cacheField>
    <cacheField name="Price (USD)" numFmtId="1">
      <sharedItems containsSemiMixedTypes="0" containsString="0" containsNumber="1" containsInteger="1" minValue="10" maxValue="999"/>
    </cacheField>
    <cacheField name="Revenue (USD)" numFmtId="0">
      <sharedItems containsSemiMixedTypes="0" containsString="0" containsNumber="1" containsInteger="1" minValue="25" maxValue="999" count="24">
        <n v="699"/>
        <n v="100"/>
        <n v="120"/>
        <n v="999"/>
        <n v="60"/>
        <n v="398"/>
        <n v="300"/>
        <n v="75"/>
        <n v="150"/>
        <n v="350"/>
        <n v="80"/>
        <n v="200"/>
        <n v="50"/>
        <n v="500"/>
        <n v="650"/>
        <n v="45"/>
        <n v="30"/>
        <n v="40"/>
        <n v="180"/>
        <n v="900"/>
        <n v="110"/>
        <n v="70"/>
        <n v="90"/>
        <n v="25"/>
      </sharedItems>
    </cacheField>
  </cacheFields>
  <extLst>
    <ext xmlns:x14="http://schemas.microsoft.com/office/spreadsheetml/2009/9/main" uri="{725AE2AE-9491-48be-B2B4-4EB974FC3084}">
      <x14:pivotCacheDefinition pivotCacheId="9011071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s v="Alice Smith"/>
    <n v="32"/>
    <s v="Female"/>
    <x v="0"/>
    <x v="0"/>
    <x v="0"/>
    <n v="1"/>
    <n v="699"/>
    <x v="0"/>
  </r>
  <r>
    <x v="1"/>
    <s v="John Doe"/>
    <n v="28"/>
    <s v="Male"/>
    <x v="1"/>
    <x v="1"/>
    <x v="1"/>
    <n v="2"/>
    <n v="50"/>
    <x v="1"/>
  </r>
  <r>
    <x v="2"/>
    <s v="Maria Gonzalez"/>
    <n v="41"/>
    <s v="Female"/>
    <x v="2"/>
    <x v="2"/>
    <x v="2"/>
    <n v="1"/>
    <n v="120"/>
    <x v="2"/>
  </r>
  <r>
    <x v="3"/>
    <s v="Michael Brown"/>
    <n v="36"/>
    <s v="Male"/>
    <x v="3"/>
    <x v="0"/>
    <x v="3"/>
    <n v="1"/>
    <n v="999"/>
    <x v="3"/>
  </r>
  <r>
    <x v="4"/>
    <s v="Sarah Johnson"/>
    <n v="25"/>
    <s v="Female"/>
    <x v="0"/>
    <x v="3"/>
    <x v="4"/>
    <n v="3"/>
    <n v="20"/>
    <x v="4"/>
  </r>
  <r>
    <x v="5"/>
    <s v="Chris Lee"/>
    <n v="30"/>
    <s v="Male"/>
    <x v="1"/>
    <x v="0"/>
    <x v="5"/>
    <n v="2"/>
    <n v="199"/>
    <x v="5"/>
  </r>
  <r>
    <x v="6"/>
    <s v="Emily Davis"/>
    <n v="29"/>
    <s v="Female"/>
    <x v="2"/>
    <x v="1"/>
    <x v="6"/>
    <n v="1"/>
    <n v="120"/>
    <x v="2"/>
  </r>
  <r>
    <x v="7"/>
    <s v="James Taylor"/>
    <n v="40"/>
    <s v="Male"/>
    <x v="3"/>
    <x v="2"/>
    <x v="7"/>
    <n v="1"/>
    <n v="300"/>
    <x v="6"/>
  </r>
  <r>
    <x v="8"/>
    <s v="Olivia Wilson"/>
    <n v="27"/>
    <s v="Female"/>
    <x v="0"/>
    <x v="0"/>
    <x v="8"/>
    <n v="2"/>
    <n v="50"/>
    <x v="1"/>
  </r>
  <r>
    <x v="9"/>
    <s v="Ethan Moore"/>
    <n v="35"/>
    <s v="Male"/>
    <x v="1"/>
    <x v="3"/>
    <x v="9"/>
    <n v="1"/>
    <n v="75"/>
    <x v="7"/>
  </r>
  <r>
    <x v="10"/>
    <s v="Sophia Martin"/>
    <n v="33"/>
    <s v="Female"/>
    <x v="2"/>
    <x v="1"/>
    <x v="10"/>
    <n v="1"/>
    <n v="150"/>
    <x v="8"/>
  </r>
  <r>
    <x v="11"/>
    <s v="Daniel White"/>
    <n v="45"/>
    <s v="Male"/>
    <x v="3"/>
    <x v="0"/>
    <x v="11"/>
    <n v="1"/>
    <n v="350"/>
    <x v="9"/>
  </r>
  <r>
    <x v="12"/>
    <s v="Chloe Thomas"/>
    <n v="26"/>
    <s v="Female"/>
    <x v="0"/>
    <x v="2"/>
    <x v="12"/>
    <n v="1"/>
    <n v="80"/>
    <x v="10"/>
  </r>
  <r>
    <x v="13"/>
    <s v="Benjamin Clark"/>
    <n v="31"/>
    <s v="Male"/>
    <x v="1"/>
    <x v="1"/>
    <x v="13"/>
    <n v="1"/>
    <n v="200"/>
    <x v="11"/>
  </r>
  <r>
    <x v="14"/>
    <s v="Isabella Scott"/>
    <n v="24"/>
    <s v="Female"/>
    <x v="2"/>
    <x v="3"/>
    <x v="14"/>
    <n v="1"/>
    <n v="50"/>
    <x v="12"/>
  </r>
  <r>
    <x v="15"/>
    <s v="William Hall"/>
    <n v="37"/>
    <s v="Male"/>
    <x v="3"/>
    <x v="0"/>
    <x v="15"/>
    <n v="1"/>
    <n v="500"/>
    <x v="13"/>
  </r>
  <r>
    <x v="16"/>
    <s v="Grace Adams"/>
    <n v="28"/>
    <s v="Female"/>
    <x v="0"/>
    <x v="1"/>
    <x v="16"/>
    <n v="1"/>
    <n v="100"/>
    <x v="1"/>
  </r>
  <r>
    <x v="17"/>
    <s v="Mason Baker"/>
    <n v="34"/>
    <s v="Male"/>
    <x v="1"/>
    <x v="0"/>
    <x v="17"/>
    <n v="1"/>
    <n v="650"/>
    <x v="14"/>
  </r>
  <r>
    <x v="18"/>
    <s v="Ella Parker"/>
    <n v="42"/>
    <s v="Female"/>
    <x v="2"/>
    <x v="2"/>
    <x v="18"/>
    <n v="1"/>
    <n v="150"/>
    <x v="8"/>
  </r>
  <r>
    <x v="19"/>
    <s v="Lucas Phillips"/>
    <n v="38"/>
    <s v="Male"/>
    <x v="3"/>
    <x v="0"/>
    <x v="19"/>
    <n v="1"/>
    <n v="150"/>
    <x v="8"/>
  </r>
  <r>
    <x v="20"/>
    <s v="Zoe Mitchell"/>
    <n v="30"/>
    <s v="Female"/>
    <x v="0"/>
    <x v="3"/>
    <x v="20"/>
    <n v="1"/>
    <n v="45"/>
    <x v="15"/>
  </r>
  <r>
    <x v="21"/>
    <s v="Henry Carter"/>
    <n v="29"/>
    <s v="Male"/>
    <x v="1"/>
    <x v="1"/>
    <x v="21"/>
    <n v="2"/>
    <n v="60"/>
    <x v="2"/>
  </r>
  <r>
    <x v="22"/>
    <s v="Lily Roberts"/>
    <n v="27"/>
    <s v="Female"/>
    <x v="2"/>
    <x v="0"/>
    <x v="22"/>
    <n v="1"/>
    <n v="30"/>
    <x v="16"/>
  </r>
  <r>
    <x v="23"/>
    <s v="Jack Turner"/>
    <n v="32"/>
    <s v="Male"/>
    <x v="3"/>
    <x v="2"/>
    <x v="23"/>
    <n v="1"/>
    <n v="200"/>
    <x v="11"/>
  </r>
  <r>
    <x v="24"/>
    <s v="Natalie Lewis"/>
    <n v="33"/>
    <s v="Female"/>
    <x v="0"/>
    <x v="0"/>
    <x v="24"/>
    <n v="1"/>
    <n v="100"/>
    <x v="1"/>
  </r>
  <r>
    <x v="25"/>
    <s v="Andrew Young"/>
    <n v="28"/>
    <s v="Male"/>
    <x v="1"/>
    <x v="3"/>
    <x v="25"/>
    <n v="1"/>
    <n v="40"/>
    <x v="17"/>
  </r>
  <r>
    <x v="26"/>
    <s v="Victoria Walker"/>
    <n v="31"/>
    <s v="Female"/>
    <x v="2"/>
    <x v="1"/>
    <x v="26"/>
    <n v="1"/>
    <n v="180"/>
    <x v="18"/>
  </r>
  <r>
    <x v="27"/>
    <s v="Samuel King"/>
    <n v="39"/>
    <s v="Male"/>
    <x v="3"/>
    <x v="0"/>
    <x v="27"/>
    <n v="1"/>
    <n v="900"/>
    <x v="19"/>
  </r>
  <r>
    <x v="28"/>
    <s v="Harper Wright"/>
    <n v="25"/>
    <s v="Female"/>
    <x v="0"/>
    <x v="2"/>
    <x v="28"/>
    <n v="1"/>
    <n v="110"/>
    <x v="20"/>
  </r>
  <r>
    <x v="29"/>
    <s v="Elijah Hill"/>
    <n v="36"/>
    <s v="Male"/>
    <x v="1"/>
    <x v="0"/>
    <x v="29"/>
    <n v="1"/>
    <n v="80"/>
    <x v="10"/>
  </r>
  <r>
    <x v="30"/>
    <s v="Scarlett Green"/>
    <n v="29"/>
    <s v="Female"/>
    <x v="2"/>
    <x v="3"/>
    <x v="30"/>
    <n v="2"/>
    <n v="20"/>
    <x v="17"/>
  </r>
  <r>
    <x v="31"/>
    <s v="Dylan Edwards"/>
    <n v="34"/>
    <s v="Male"/>
    <x v="3"/>
    <x v="1"/>
    <x v="31"/>
    <n v="1"/>
    <n v="70"/>
    <x v="21"/>
  </r>
  <r>
    <x v="32"/>
    <s v="Audrey Cooper"/>
    <n v="27"/>
    <s v="Female"/>
    <x v="0"/>
    <x v="0"/>
    <x v="32"/>
    <n v="1"/>
    <n v="300"/>
    <x v="6"/>
  </r>
  <r>
    <x v="33"/>
    <s v="Nathan Perez"/>
    <n v="35"/>
    <s v="Male"/>
    <x v="1"/>
    <x v="3"/>
    <x v="33"/>
    <n v="1"/>
    <n v="60"/>
    <x v="4"/>
  </r>
  <r>
    <x v="34"/>
    <s v="Stella Murphy"/>
    <n v="30"/>
    <s v="Female"/>
    <x v="2"/>
    <x v="2"/>
    <x v="34"/>
    <n v="1"/>
    <n v="90"/>
    <x v="22"/>
  </r>
  <r>
    <x v="35"/>
    <s v="Owen Hughes"/>
    <n v="32"/>
    <s v="Male"/>
    <x v="3"/>
    <x v="0"/>
    <x v="35"/>
    <n v="2"/>
    <n v="40"/>
    <x v="10"/>
  </r>
  <r>
    <x v="36"/>
    <s v="Leah Richardson"/>
    <n v="41"/>
    <s v="Female"/>
    <x v="0"/>
    <x v="1"/>
    <x v="36"/>
    <n v="1"/>
    <n v="25"/>
    <x v="23"/>
  </r>
  <r>
    <x v="37"/>
    <s v="Caleb Morgan"/>
    <n v="26"/>
    <s v="Male"/>
    <x v="1"/>
    <x v="0"/>
    <x v="37"/>
    <n v="1"/>
    <n v="150"/>
    <x v="8"/>
  </r>
  <r>
    <x v="38"/>
    <s v="Mila Bennett"/>
    <n v="28"/>
    <s v="Female"/>
    <x v="2"/>
    <x v="3"/>
    <x v="38"/>
    <n v="2"/>
    <n v="15"/>
    <x v="16"/>
  </r>
  <r>
    <x v="39"/>
    <s v="Julian Rivera"/>
    <n v="40"/>
    <s v="Male"/>
    <x v="3"/>
    <x v="2"/>
    <x v="39"/>
    <n v="1"/>
    <n v="50"/>
    <x v="12"/>
  </r>
  <r>
    <x v="40"/>
    <s v="Layla Martinez"/>
    <n v="29"/>
    <s v="Female"/>
    <x v="0"/>
    <x v="0"/>
    <x v="40"/>
    <n v="3"/>
    <n v="10"/>
    <x v="16"/>
  </r>
  <r>
    <x v="41"/>
    <s v="Isaac Foster"/>
    <n v="33"/>
    <s v="Male"/>
    <x v="1"/>
    <x v="1"/>
    <x v="41"/>
    <n v="2"/>
    <n v="30"/>
    <x v="4"/>
  </r>
  <r>
    <x v="42"/>
    <s v="Nora Bailey"/>
    <n v="24"/>
    <s v="Female"/>
    <x v="2"/>
    <x v="3"/>
    <x v="42"/>
    <n v="1"/>
    <n v="25"/>
    <x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2C25B-D4C5-4D9F-A891-A429E28362EC}" name="PivotTable1" cacheId="0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>
  <location ref="A3:B5" firstHeaderRow="1" firstDataRow="2" firstDataCol="1" rowPageCount="1" colPageCount="1"/>
  <pivotFields count="10">
    <pivotField numFmtId="164" showAll="0">
      <items count="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44">
        <item x="18"/>
        <item x="25"/>
        <item x="2"/>
        <item x="24"/>
        <item x="38"/>
        <item x="17"/>
        <item x="12"/>
        <item x="27"/>
        <item x="39"/>
        <item x="33"/>
        <item x="29"/>
        <item x="15"/>
        <item x="35"/>
        <item x="14"/>
        <item x="10"/>
        <item x="8"/>
        <item x="6"/>
        <item x="3"/>
        <item x="42"/>
        <item x="20"/>
        <item x="7"/>
        <item x="32"/>
        <item x="30"/>
        <item x="9"/>
        <item x="40"/>
        <item x="22"/>
        <item x="36"/>
        <item x="4"/>
        <item x="28"/>
        <item x="19"/>
        <item x="0"/>
        <item x="5"/>
        <item x="1"/>
        <item x="21"/>
        <item x="16"/>
        <item x="11"/>
        <item x="34"/>
        <item x="41"/>
        <item x="23"/>
        <item x="31"/>
        <item x="13"/>
        <item x="37"/>
        <item x="26"/>
        <item t="default"/>
      </items>
    </pivotField>
    <pivotField showAll="0"/>
    <pivotField dataField="1" numFmtId="1" showAll="0"/>
    <pivotField axis="axisCol" showAll="0">
      <items count="25">
        <item x="23"/>
        <item x="16"/>
        <item x="17"/>
        <item x="15"/>
        <item x="12"/>
        <item x="4"/>
        <item x="21"/>
        <item x="7"/>
        <item x="10"/>
        <item x="22"/>
        <item x="1"/>
        <item x="20"/>
        <item x="2"/>
        <item x="8"/>
        <item x="18"/>
        <item x="11"/>
        <item x="6"/>
        <item x="9"/>
        <item x="5"/>
        <item x="13"/>
        <item x="14"/>
        <item x="0"/>
        <item x="19"/>
        <item x="3"/>
        <item t="default"/>
      </items>
    </pivotField>
  </pivotFields>
  <rowFields count="1">
    <field x="6"/>
  </rowFields>
  <rowItems count="1">
    <i t="grand">
      <x/>
    </i>
  </rowItems>
  <colFields count="1">
    <field x="9"/>
  </colFields>
  <colItems count="1">
    <i t="grand">
      <x/>
    </i>
  </colItems>
  <pageFields count="1">
    <pageField fld="4" hier="-1"/>
  </pageFields>
  <dataFields count="1">
    <dataField name="Sum of Price (USD)" fld="8" baseField="0" baseItem="0"/>
  </dataFields>
  <pivotTableStyleInfo name="PivotStyleLight16" showRowHeaders="1" showColHeaders="1" showRowStripes="0" showColStripes="0" showLastColumn="1"/>
  <filters count="1">
    <filter fld="0" type="dateEqual" evalOrder="-1" id="18" name="Date">
      <autoFilter ref="A1">
        <filterColumn colId="0">
          <customFilters>
            <customFilter val="4580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66CA37C1-87CC-499F-8066-C082B38B50AD}" sourceName="Date">
  <pivotTables>
    <pivotTable tabId="2" name="PivotTable1"/>
  </pivotTables>
  <state minimalRefreshVersion="6" lastRefreshVersion="6" pivotCacheId="901107189" filterType="dateEqual">
    <selection startDate="2025-05-29T00:00:00" endDate="2025-05-29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A8B361BB-EE08-4A37-B634-E67331424110}" cache="NativeTimeline_Date" caption="Date" level="3" selectionLevel="3" scrollPosition="2025-05-27T00:00:00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6041-87BB-402E-B98E-3557F3D3119E}">
  <dimension ref="A1:M40"/>
  <sheetViews>
    <sheetView tabSelected="1" zoomScale="70" zoomScaleNormal="70" workbookViewId="0">
      <selection activeCell="M40" sqref="M40"/>
    </sheetView>
  </sheetViews>
  <sheetFormatPr defaultRowHeight="14.4" x14ac:dyDescent="0.3"/>
  <cols>
    <col min="1" max="1" width="17.21875" bestFit="1" customWidth="1"/>
    <col min="2" max="2" width="16.77734375" bestFit="1" customWidth="1"/>
    <col min="3" max="5" width="4.5546875" bestFit="1" customWidth="1"/>
    <col min="6" max="7" width="6" bestFit="1" customWidth="1"/>
    <col min="8" max="9" width="4.5546875" bestFit="1" customWidth="1"/>
    <col min="10" max="10" width="6" bestFit="1" customWidth="1"/>
    <col min="11" max="11" width="4.5546875" bestFit="1" customWidth="1"/>
    <col min="12" max="25" width="6" bestFit="1" customWidth="1"/>
    <col min="26" max="26" width="14.88671875" bestFit="1" customWidth="1"/>
    <col min="27" max="27" width="18.5546875" bestFit="1" customWidth="1"/>
    <col min="28" max="28" width="11.33203125" bestFit="1" customWidth="1"/>
    <col min="29" max="29" width="14.109375" bestFit="1" customWidth="1"/>
    <col min="30" max="30" width="10.5546875" bestFit="1" customWidth="1"/>
    <col min="31" max="31" width="13.33203125" bestFit="1" customWidth="1"/>
    <col min="32" max="32" width="13.5546875" bestFit="1" customWidth="1"/>
    <col min="33" max="33" width="16.33203125" bestFit="1" customWidth="1"/>
    <col min="34" max="34" width="8.21875" bestFit="1" customWidth="1"/>
    <col min="35" max="35" width="10.88671875" bestFit="1" customWidth="1"/>
    <col min="36" max="36" width="8.88671875" bestFit="1" customWidth="1"/>
    <col min="37" max="37" width="11.5546875" bestFit="1" customWidth="1"/>
    <col min="38" max="38" width="9.21875" bestFit="1" customWidth="1"/>
    <col min="39" max="39" width="11.88671875" bestFit="1" customWidth="1"/>
    <col min="40" max="40" width="13.109375" bestFit="1" customWidth="1"/>
    <col min="41" max="41" width="15.88671875" bestFit="1" customWidth="1"/>
    <col min="42" max="42" width="17.33203125" bestFit="1" customWidth="1"/>
    <col min="43" max="43" width="20.109375" bestFit="1" customWidth="1"/>
    <col min="44" max="44" width="9.88671875" bestFit="1" customWidth="1"/>
    <col min="45" max="45" width="12.5546875" bestFit="1" customWidth="1"/>
    <col min="46" max="46" width="14.33203125" bestFit="1" customWidth="1"/>
    <col min="47" max="47" width="17.21875" bestFit="1" customWidth="1"/>
    <col min="48" max="48" width="10.21875" bestFit="1" customWidth="1"/>
    <col min="49" max="49" width="12.88671875" bestFit="1" customWidth="1"/>
    <col min="50" max="50" width="12.77734375" bestFit="1" customWidth="1"/>
    <col min="51" max="51" width="15.5546875" bestFit="1" customWidth="1"/>
    <col min="52" max="52" width="13" bestFit="1" customWidth="1"/>
    <col min="53" max="53" width="15.77734375" bestFit="1" customWidth="1"/>
    <col min="54" max="54" width="7.21875" bestFit="1" customWidth="1"/>
    <col min="55" max="55" width="9.88671875" bestFit="1" customWidth="1"/>
    <col min="56" max="56" width="12.77734375" bestFit="1" customWidth="1"/>
    <col min="57" max="57" width="15.5546875" bestFit="1" customWidth="1"/>
    <col min="58" max="58" width="13.44140625" bestFit="1" customWidth="1"/>
    <col min="59" max="59" width="16.21875" bestFit="1" customWidth="1"/>
    <col min="60" max="60" width="15.33203125" bestFit="1" customWidth="1"/>
    <col min="61" max="61" width="18.109375" bestFit="1" customWidth="1"/>
    <col min="62" max="62" width="13.44140625" bestFit="1" customWidth="1"/>
    <col min="63" max="63" width="16.21875" bestFit="1" customWidth="1"/>
    <col min="64" max="64" width="13.109375" bestFit="1" customWidth="1"/>
    <col min="65" max="65" width="15.88671875" bestFit="1" customWidth="1"/>
    <col min="66" max="66" width="10.5546875" bestFit="1" customWidth="1"/>
    <col min="67" max="67" width="13.33203125" bestFit="1" customWidth="1"/>
    <col min="68" max="68" width="13.77734375" bestFit="1" customWidth="1"/>
    <col min="69" max="69" width="16.5546875" bestFit="1" customWidth="1"/>
    <col min="70" max="70" width="12" bestFit="1" customWidth="1"/>
    <col min="71" max="71" width="14.77734375" bestFit="1" customWidth="1"/>
    <col min="72" max="72" width="8.21875" bestFit="1" customWidth="1"/>
    <col min="73" max="73" width="10.88671875" bestFit="1" customWidth="1"/>
    <col min="74" max="74" width="14.109375" bestFit="1" customWidth="1"/>
    <col min="75" max="75" width="16.88671875" bestFit="1" customWidth="1"/>
    <col min="76" max="76" width="8.5546875" bestFit="1" customWidth="1"/>
    <col min="77" max="77" width="11.21875" bestFit="1" customWidth="1"/>
    <col min="78" max="78" width="16.88671875" bestFit="1" customWidth="1"/>
    <col min="79" max="79" width="19.6640625" bestFit="1" customWidth="1"/>
    <col min="80" max="80" width="8.33203125" bestFit="1" customWidth="1"/>
    <col min="81" max="81" width="11" bestFit="1" customWidth="1"/>
    <col min="82" max="82" width="8.44140625" bestFit="1" customWidth="1"/>
    <col min="83" max="83" width="11.109375" bestFit="1" customWidth="1"/>
    <col min="84" max="84" width="13.33203125" bestFit="1" customWidth="1"/>
    <col min="85" max="85" width="16.109375" bestFit="1" customWidth="1"/>
    <col min="86" max="86" width="13" bestFit="1" customWidth="1"/>
    <col min="87" max="87" width="15.77734375" bestFit="1" customWidth="1"/>
    <col min="88" max="88" width="10.77734375" bestFit="1" customWidth="1"/>
  </cols>
  <sheetData>
    <row r="1" spans="1:2" x14ac:dyDescent="0.3">
      <c r="A1" s="5" t="s">
        <v>4</v>
      </c>
      <c r="B1" t="s">
        <v>106</v>
      </c>
    </row>
    <row r="3" spans="1:2" x14ac:dyDescent="0.3">
      <c r="A3" s="5" t="s">
        <v>110</v>
      </c>
      <c r="B3" s="5" t="s">
        <v>107</v>
      </c>
    </row>
    <row r="4" spans="1:2" x14ac:dyDescent="0.3">
      <c r="A4" s="5" t="s">
        <v>109</v>
      </c>
      <c r="B4" t="s">
        <v>108</v>
      </c>
    </row>
    <row r="5" spans="1:2" x14ac:dyDescent="0.3">
      <c r="A5" s="6" t="s">
        <v>108</v>
      </c>
      <c r="B5" s="7"/>
    </row>
    <row r="40" spans="13:13" x14ac:dyDescent="0.3">
      <c r="M40" t="s">
        <v>111</v>
      </c>
    </row>
  </sheetData>
  <conditionalFormatting sqref="AD5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1:XFD4 A49:XFD1048576 A5:A48 AA5:XFD48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E4B8-5A6C-4317-977C-915B09A5E498}">
  <dimension ref="A1:J44"/>
  <sheetViews>
    <sheetView workbookViewId="0">
      <selection activeCell="C6" sqref="C6"/>
    </sheetView>
  </sheetViews>
  <sheetFormatPr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>
        <v>45658</v>
      </c>
      <c r="B2" s="2" t="s">
        <v>10</v>
      </c>
      <c r="C2" s="2">
        <v>32</v>
      </c>
      <c r="D2" s="2" t="s">
        <v>11</v>
      </c>
      <c r="E2" s="2" t="s">
        <v>12</v>
      </c>
      <c r="F2" s="2" t="s">
        <v>13</v>
      </c>
      <c r="G2" s="2" t="s">
        <v>14</v>
      </c>
      <c r="H2" s="2">
        <v>1</v>
      </c>
      <c r="I2" s="3">
        <v>699</v>
      </c>
      <c r="J2" s="2">
        <f>H2*I2</f>
        <v>699</v>
      </c>
    </row>
    <row r="3" spans="1:10" x14ac:dyDescent="0.3">
      <c r="A3" s="1">
        <v>45659</v>
      </c>
      <c r="B3" s="2" t="s">
        <v>15</v>
      </c>
      <c r="C3" s="2">
        <v>28</v>
      </c>
      <c r="D3" s="2" t="s">
        <v>16</v>
      </c>
      <c r="E3" s="2" t="s">
        <v>17</v>
      </c>
      <c r="F3" s="2" t="s">
        <v>18</v>
      </c>
      <c r="G3" s="2" t="s">
        <v>19</v>
      </c>
      <c r="H3" s="2">
        <v>2</v>
      </c>
      <c r="I3" s="3">
        <v>50</v>
      </c>
      <c r="J3" s="2">
        <f>PRODUCT(H3,I3)</f>
        <v>100</v>
      </c>
    </row>
    <row r="4" spans="1:10" x14ac:dyDescent="0.3">
      <c r="A4" s="1">
        <v>45660</v>
      </c>
      <c r="B4" s="2" t="s">
        <v>20</v>
      </c>
      <c r="C4" s="2">
        <v>41</v>
      </c>
      <c r="D4" s="2" t="s">
        <v>11</v>
      </c>
      <c r="E4" s="2" t="s">
        <v>21</v>
      </c>
      <c r="F4" s="2" t="s">
        <v>22</v>
      </c>
      <c r="G4" s="2" t="s">
        <v>23</v>
      </c>
      <c r="H4" s="2">
        <v>1</v>
      </c>
      <c r="I4" s="3">
        <v>120</v>
      </c>
      <c r="J4" s="2">
        <f t="shared" ref="J4:J44" si="0">PRODUCT(H4,I4)</f>
        <v>120</v>
      </c>
    </row>
    <row r="5" spans="1:10" x14ac:dyDescent="0.3">
      <c r="A5" s="1">
        <v>45661</v>
      </c>
      <c r="B5" s="2" t="s">
        <v>24</v>
      </c>
      <c r="C5" s="2">
        <v>36</v>
      </c>
      <c r="D5" s="2" t="s">
        <v>16</v>
      </c>
      <c r="E5" s="2" t="s">
        <v>25</v>
      </c>
      <c r="F5" s="2" t="s">
        <v>13</v>
      </c>
      <c r="G5" s="2" t="s">
        <v>26</v>
      </c>
      <c r="H5" s="2">
        <v>1</v>
      </c>
      <c r="I5" s="3">
        <v>999</v>
      </c>
      <c r="J5" s="2">
        <f t="shared" si="0"/>
        <v>999</v>
      </c>
    </row>
    <row r="6" spans="1:10" x14ac:dyDescent="0.3">
      <c r="A6" s="1">
        <v>45662</v>
      </c>
      <c r="B6" s="2" t="s">
        <v>27</v>
      </c>
      <c r="C6" s="2">
        <v>25</v>
      </c>
      <c r="D6" s="2" t="s">
        <v>11</v>
      </c>
      <c r="E6" s="2" t="s">
        <v>12</v>
      </c>
      <c r="F6" s="2" t="s">
        <v>28</v>
      </c>
      <c r="G6" s="2" t="s">
        <v>29</v>
      </c>
      <c r="H6" s="2">
        <v>3</v>
      </c>
      <c r="I6" s="3">
        <v>20</v>
      </c>
      <c r="J6" s="2">
        <f t="shared" si="0"/>
        <v>60</v>
      </c>
    </row>
    <row r="7" spans="1:10" x14ac:dyDescent="0.3">
      <c r="A7" s="1">
        <v>45663</v>
      </c>
      <c r="B7" s="2" t="s">
        <v>30</v>
      </c>
      <c r="C7" s="2">
        <v>30</v>
      </c>
      <c r="D7" s="2" t="s">
        <v>16</v>
      </c>
      <c r="E7" s="2" t="s">
        <v>17</v>
      </c>
      <c r="F7" s="2" t="s">
        <v>13</v>
      </c>
      <c r="G7" s="2" t="s">
        <v>31</v>
      </c>
      <c r="H7" s="2">
        <v>2</v>
      </c>
      <c r="I7" s="3">
        <v>199</v>
      </c>
      <c r="J7" s="2">
        <f t="shared" si="0"/>
        <v>398</v>
      </c>
    </row>
    <row r="8" spans="1:10" x14ac:dyDescent="0.3">
      <c r="A8" s="1">
        <v>45664</v>
      </c>
      <c r="B8" s="2" t="s">
        <v>32</v>
      </c>
      <c r="C8" s="2">
        <v>29</v>
      </c>
      <c r="D8" s="2" t="s">
        <v>11</v>
      </c>
      <c r="E8" s="2" t="s">
        <v>21</v>
      </c>
      <c r="F8" s="2" t="s">
        <v>18</v>
      </c>
      <c r="G8" s="2" t="s">
        <v>33</v>
      </c>
      <c r="H8" s="2">
        <v>1</v>
      </c>
      <c r="I8" s="3">
        <v>120</v>
      </c>
      <c r="J8" s="2">
        <f t="shared" si="0"/>
        <v>120</v>
      </c>
    </row>
    <row r="9" spans="1:10" x14ac:dyDescent="0.3">
      <c r="A9" s="1">
        <v>45665</v>
      </c>
      <c r="B9" s="2" t="s">
        <v>34</v>
      </c>
      <c r="C9" s="2">
        <v>40</v>
      </c>
      <c r="D9" s="2" t="s">
        <v>16</v>
      </c>
      <c r="E9" s="2" t="s">
        <v>25</v>
      </c>
      <c r="F9" s="2" t="s">
        <v>22</v>
      </c>
      <c r="G9" s="2" t="s">
        <v>35</v>
      </c>
      <c r="H9" s="2">
        <v>1</v>
      </c>
      <c r="I9" s="3">
        <v>300</v>
      </c>
      <c r="J9" s="2">
        <f t="shared" si="0"/>
        <v>300</v>
      </c>
    </row>
    <row r="10" spans="1:10" x14ac:dyDescent="0.3">
      <c r="A10" s="1">
        <v>45666</v>
      </c>
      <c r="B10" s="2" t="s">
        <v>36</v>
      </c>
      <c r="C10" s="2">
        <v>27</v>
      </c>
      <c r="D10" s="2" t="s">
        <v>11</v>
      </c>
      <c r="E10" s="2" t="s">
        <v>12</v>
      </c>
      <c r="F10" s="2" t="s">
        <v>13</v>
      </c>
      <c r="G10" s="2" t="s">
        <v>37</v>
      </c>
      <c r="H10" s="2">
        <v>2</v>
      </c>
      <c r="I10" s="3">
        <v>50</v>
      </c>
      <c r="J10" s="2">
        <f t="shared" si="0"/>
        <v>100</v>
      </c>
    </row>
    <row r="11" spans="1:10" x14ac:dyDescent="0.3">
      <c r="A11" s="1">
        <v>45667</v>
      </c>
      <c r="B11" s="2" t="s">
        <v>38</v>
      </c>
      <c r="C11" s="2">
        <v>35</v>
      </c>
      <c r="D11" s="2" t="s">
        <v>16</v>
      </c>
      <c r="E11" s="2" t="s">
        <v>17</v>
      </c>
      <c r="F11" s="2" t="s">
        <v>28</v>
      </c>
      <c r="G11" s="2" t="s">
        <v>39</v>
      </c>
      <c r="H11" s="2">
        <v>1</v>
      </c>
      <c r="I11" s="3">
        <v>75</v>
      </c>
      <c r="J11" s="2">
        <f t="shared" si="0"/>
        <v>75</v>
      </c>
    </row>
    <row r="12" spans="1:10" x14ac:dyDescent="0.3">
      <c r="A12" s="1">
        <v>45668</v>
      </c>
      <c r="B12" s="2" t="s">
        <v>40</v>
      </c>
      <c r="C12" s="2">
        <v>33</v>
      </c>
      <c r="D12" s="2" t="s">
        <v>11</v>
      </c>
      <c r="E12" s="2" t="s">
        <v>21</v>
      </c>
      <c r="F12" s="2" t="s">
        <v>18</v>
      </c>
      <c r="G12" s="2" t="s">
        <v>41</v>
      </c>
      <c r="H12" s="2">
        <v>1</v>
      </c>
      <c r="I12" s="3">
        <v>150</v>
      </c>
      <c r="J12" s="2">
        <f t="shared" si="0"/>
        <v>150</v>
      </c>
    </row>
    <row r="13" spans="1:10" x14ac:dyDescent="0.3">
      <c r="A13" s="1">
        <v>45669</v>
      </c>
      <c r="B13" s="2" t="s">
        <v>42</v>
      </c>
      <c r="C13" s="2">
        <v>45</v>
      </c>
      <c r="D13" s="2" t="s">
        <v>16</v>
      </c>
      <c r="E13" s="2" t="s">
        <v>25</v>
      </c>
      <c r="F13" s="2" t="s">
        <v>13</v>
      </c>
      <c r="G13" s="2" t="s">
        <v>43</v>
      </c>
      <c r="H13" s="2">
        <v>1</v>
      </c>
      <c r="I13" s="3">
        <v>350</v>
      </c>
      <c r="J13" s="2">
        <f t="shared" si="0"/>
        <v>350</v>
      </c>
    </row>
    <row r="14" spans="1:10" x14ac:dyDescent="0.3">
      <c r="A14" s="1">
        <v>45670</v>
      </c>
      <c r="B14" s="2" t="s">
        <v>44</v>
      </c>
      <c r="C14" s="2">
        <v>26</v>
      </c>
      <c r="D14" s="2" t="s">
        <v>11</v>
      </c>
      <c r="E14" s="2" t="s">
        <v>12</v>
      </c>
      <c r="F14" s="2" t="s">
        <v>22</v>
      </c>
      <c r="G14" s="2" t="s">
        <v>45</v>
      </c>
      <c r="H14" s="2">
        <v>1</v>
      </c>
      <c r="I14" s="3">
        <v>80</v>
      </c>
      <c r="J14" s="2">
        <f t="shared" si="0"/>
        <v>80</v>
      </c>
    </row>
    <row r="15" spans="1:10" x14ac:dyDescent="0.3">
      <c r="A15" s="1">
        <v>45671</v>
      </c>
      <c r="B15" s="2" t="s">
        <v>46</v>
      </c>
      <c r="C15" s="2">
        <v>31</v>
      </c>
      <c r="D15" s="2" t="s">
        <v>16</v>
      </c>
      <c r="E15" s="2" t="s">
        <v>17</v>
      </c>
      <c r="F15" s="2" t="s">
        <v>18</v>
      </c>
      <c r="G15" s="2" t="s">
        <v>47</v>
      </c>
      <c r="H15" s="2">
        <v>1</v>
      </c>
      <c r="I15" s="3">
        <v>200</v>
      </c>
      <c r="J15" s="2">
        <f t="shared" si="0"/>
        <v>200</v>
      </c>
    </row>
    <row r="16" spans="1:10" x14ac:dyDescent="0.3">
      <c r="A16" s="1">
        <v>45672</v>
      </c>
      <c r="B16" s="2" t="s">
        <v>48</v>
      </c>
      <c r="C16" s="2">
        <v>24</v>
      </c>
      <c r="D16" s="2" t="s">
        <v>11</v>
      </c>
      <c r="E16" s="2" t="s">
        <v>21</v>
      </c>
      <c r="F16" s="2" t="s">
        <v>28</v>
      </c>
      <c r="G16" s="2" t="s">
        <v>49</v>
      </c>
      <c r="H16" s="2">
        <v>1</v>
      </c>
      <c r="I16" s="3">
        <v>50</v>
      </c>
      <c r="J16" s="2">
        <f t="shared" si="0"/>
        <v>50</v>
      </c>
    </row>
    <row r="17" spans="1:10" x14ac:dyDescent="0.3">
      <c r="A17" s="1">
        <v>45673</v>
      </c>
      <c r="B17" s="2" t="s">
        <v>50</v>
      </c>
      <c r="C17" s="2">
        <v>37</v>
      </c>
      <c r="D17" s="2" t="s">
        <v>16</v>
      </c>
      <c r="E17" s="2" t="s">
        <v>25</v>
      </c>
      <c r="F17" s="2" t="s">
        <v>13</v>
      </c>
      <c r="G17" s="2" t="s">
        <v>51</v>
      </c>
      <c r="H17" s="2">
        <v>1</v>
      </c>
      <c r="I17" s="3">
        <v>500</v>
      </c>
      <c r="J17" s="2">
        <f t="shared" si="0"/>
        <v>500</v>
      </c>
    </row>
    <row r="18" spans="1:10" x14ac:dyDescent="0.3">
      <c r="A18" s="1">
        <v>45674</v>
      </c>
      <c r="B18" s="2" t="s">
        <v>52</v>
      </c>
      <c r="C18" s="2">
        <v>28</v>
      </c>
      <c r="D18" s="2" t="s">
        <v>11</v>
      </c>
      <c r="E18" s="2" t="s">
        <v>12</v>
      </c>
      <c r="F18" s="2" t="s">
        <v>18</v>
      </c>
      <c r="G18" s="2" t="s">
        <v>53</v>
      </c>
      <c r="H18" s="2">
        <v>1</v>
      </c>
      <c r="I18" s="3">
        <v>100</v>
      </c>
      <c r="J18" s="2">
        <f t="shared" si="0"/>
        <v>100</v>
      </c>
    </row>
    <row r="19" spans="1:10" x14ac:dyDescent="0.3">
      <c r="A19" s="1">
        <v>45675</v>
      </c>
      <c r="B19" s="2" t="s">
        <v>54</v>
      </c>
      <c r="C19" s="2">
        <v>34</v>
      </c>
      <c r="D19" s="2" t="s">
        <v>16</v>
      </c>
      <c r="E19" s="2" t="s">
        <v>17</v>
      </c>
      <c r="F19" s="2" t="s">
        <v>13</v>
      </c>
      <c r="G19" s="2" t="s">
        <v>55</v>
      </c>
      <c r="H19" s="2">
        <v>1</v>
      </c>
      <c r="I19" s="3">
        <v>650</v>
      </c>
      <c r="J19" s="2">
        <f t="shared" si="0"/>
        <v>650</v>
      </c>
    </row>
    <row r="20" spans="1:10" x14ac:dyDescent="0.3">
      <c r="A20" s="1">
        <v>45676</v>
      </c>
      <c r="B20" s="2" t="s">
        <v>56</v>
      </c>
      <c r="C20" s="2">
        <v>42</v>
      </c>
      <c r="D20" s="2" t="s">
        <v>11</v>
      </c>
      <c r="E20" s="2" t="s">
        <v>21</v>
      </c>
      <c r="F20" s="2" t="s">
        <v>22</v>
      </c>
      <c r="G20" s="2" t="s">
        <v>57</v>
      </c>
      <c r="H20" s="2">
        <v>1</v>
      </c>
      <c r="I20" s="3">
        <v>150</v>
      </c>
      <c r="J20" s="2">
        <f t="shared" si="0"/>
        <v>150</v>
      </c>
    </row>
    <row r="21" spans="1:10" x14ac:dyDescent="0.3">
      <c r="A21" s="1">
        <v>45677</v>
      </c>
      <c r="B21" s="2" t="s">
        <v>58</v>
      </c>
      <c r="C21" s="2">
        <v>38</v>
      </c>
      <c r="D21" s="2" t="s">
        <v>16</v>
      </c>
      <c r="E21" s="2" t="s">
        <v>25</v>
      </c>
      <c r="F21" s="2" t="s">
        <v>13</v>
      </c>
      <c r="G21" s="2" t="s">
        <v>59</v>
      </c>
      <c r="H21" s="2">
        <v>1</v>
      </c>
      <c r="I21" s="3">
        <v>150</v>
      </c>
      <c r="J21" s="2">
        <f t="shared" si="0"/>
        <v>150</v>
      </c>
    </row>
    <row r="22" spans="1:10" x14ac:dyDescent="0.3">
      <c r="A22" s="1">
        <v>45678</v>
      </c>
      <c r="B22" s="2" t="s">
        <v>60</v>
      </c>
      <c r="C22" s="2">
        <v>30</v>
      </c>
      <c r="D22" s="2" t="s">
        <v>11</v>
      </c>
      <c r="E22" s="2" t="s">
        <v>12</v>
      </c>
      <c r="F22" s="2" t="s">
        <v>28</v>
      </c>
      <c r="G22" s="2" t="s">
        <v>61</v>
      </c>
      <c r="H22" s="2">
        <v>1</v>
      </c>
      <c r="I22" s="3">
        <v>45</v>
      </c>
      <c r="J22" s="2">
        <f t="shared" si="0"/>
        <v>45</v>
      </c>
    </row>
    <row r="23" spans="1:10" x14ac:dyDescent="0.3">
      <c r="A23" s="1">
        <v>45679</v>
      </c>
      <c r="B23" s="2" t="s">
        <v>62</v>
      </c>
      <c r="C23" s="2">
        <v>29</v>
      </c>
      <c r="D23" s="2" t="s">
        <v>16</v>
      </c>
      <c r="E23" s="2" t="s">
        <v>17</v>
      </c>
      <c r="F23" s="2" t="s">
        <v>18</v>
      </c>
      <c r="G23" s="2" t="s">
        <v>63</v>
      </c>
      <c r="H23" s="2">
        <v>2</v>
      </c>
      <c r="I23" s="3">
        <v>60</v>
      </c>
      <c r="J23" s="2">
        <f t="shared" si="0"/>
        <v>120</v>
      </c>
    </row>
    <row r="24" spans="1:10" x14ac:dyDescent="0.3">
      <c r="A24" s="1">
        <v>45680</v>
      </c>
      <c r="B24" s="2" t="s">
        <v>64</v>
      </c>
      <c r="C24" s="2">
        <v>27</v>
      </c>
      <c r="D24" s="2" t="s">
        <v>11</v>
      </c>
      <c r="E24" s="2" t="s">
        <v>21</v>
      </c>
      <c r="F24" s="2" t="s">
        <v>13</v>
      </c>
      <c r="G24" s="2" t="s">
        <v>65</v>
      </c>
      <c r="H24" s="2">
        <v>1</v>
      </c>
      <c r="I24" s="3">
        <v>30</v>
      </c>
      <c r="J24" s="2">
        <f t="shared" si="0"/>
        <v>30</v>
      </c>
    </row>
    <row r="25" spans="1:10" x14ac:dyDescent="0.3">
      <c r="A25" s="1">
        <v>45681</v>
      </c>
      <c r="B25" s="2" t="s">
        <v>66</v>
      </c>
      <c r="C25" s="2">
        <v>32</v>
      </c>
      <c r="D25" s="2" t="s">
        <v>16</v>
      </c>
      <c r="E25" s="2" t="s">
        <v>25</v>
      </c>
      <c r="F25" s="2" t="s">
        <v>22</v>
      </c>
      <c r="G25" s="2" t="s">
        <v>67</v>
      </c>
      <c r="H25" s="2">
        <v>1</v>
      </c>
      <c r="I25" s="3">
        <v>200</v>
      </c>
      <c r="J25" s="2">
        <f t="shared" si="0"/>
        <v>200</v>
      </c>
    </row>
    <row r="26" spans="1:10" x14ac:dyDescent="0.3">
      <c r="A26" s="1">
        <v>45682</v>
      </c>
      <c r="B26" s="2" t="s">
        <v>68</v>
      </c>
      <c r="C26" s="2">
        <v>33</v>
      </c>
      <c r="D26" s="2" t="s">
        <v>11</v>
      </c>
      <c r="E26" s="2" t="s">
        <v>12</v>
      </c>
      <c r="F26" s="2" t="s">
        <v>13</v>
      </c>
      <c r="G26" s="2" t="s">
        <v>69</v>
      </c>
      <c r="H26" s="2">
        <v>1</v>
      </c>
      <c r="I26" s="3">
        <v>100</v>
      </c>
      <c r="J26" s="2">
        <f t="shared" si="0"/>
        <v>100</v>
      </c>
    </row>
    <row r="27" spans="1:10" x14ac:dyDescent="0.3">
      <c r="A27" s="1">
        <v>45683</v>
      </c>
      <c r="B27" s="2" t="s">
        <v>70</v>
      </c>
      <c r="C27" s="2">
        <v>28</v>
      </c>
      <c r="D27" s="2" t="s">
        <v>16</v>
      </c>
      <c r="E27" s="2" t="s">
        <v>17</v>
      </c>
      <c r="F27" s="2" t="s">
        <v>28</v>
      </c>
      <c r="G27" s="2" t="s">
        <v>71</v>
      </c>
      <c r="H27" s="2">
        <v>1</v>
      </c>
      <c r="I27" s="3">
        <v>40</v>
      </c>
      <c r="J27" s="2">
        <f t="shared" si="0"/>
        <v>40</v>
      </c>
    </row>
    <row r="28" spans="1:10" x14ac:dyDescent="0.3">
      <c r="A28" s="1">
        <v>45684</v>
      </c>
      <c r="B28" s="2" t="s">
        <v>72</v>
      </c>
      <c r="C28" s="2">
        <v>31</v>
      </c>
      <c r="D28" s="2" t="s">
        <v>11</v>
      </c>
      <c r="E28" s="2" t="s">
        <v>21</v>
      </c>
      <c r="F28" s="2" t="s">
        <v>18</v>
      </c>
      <c r="G28" s="2" t="s">
        <v>73</v>
      </c>
      <c r="H28" s="2">
        <v>1</v>
      </c>
      <c r="I28" s="3">
        <v>180</v>
      </c>
      <c r="J28" s="2">
        <f t="shared" si="0"/>
        <v>180</v>
      </c>
    </row>
    <row r="29" spans="1:10" x14ac:dyDescent="0.3">
      <c r="A29" s="1">
        <v>45685</v>
      </c>
      <c r="B29" s="2" t="s">
        <v>74</v>
      </c>
      <c r="C29" s="2">
        <v>39</v>
      </c>
      <c r="D29" s="2" t="s">
        <v>16</v>
      </c>
      <c r="E29" s="2" t="s">
        <v>25</v>
      </c>
      <c r="F29" s="2" t="s">
        <v>13</v>
      </c>
      <c r="G29" s="2" t="s">
        <v>75</v>
      </c>
      <c r="H29" s="2">
        <v>1</v>
      </c>
      <c r="I29" s="3">
        <v>900</v>
      </c>
      <c r="J29" s="2">
        <f t="shared" si="0"/>
        <v>900</v>
      </c>
    </row>
    <row r="30" spans="1:10" x14ac:dyDescent="0.3">
      <c r="A30" s="1">
        <v>45686</v>
      </c>
      <c r="B30" s="2" t="s">
        <v>76</v>
      </c>
      <c r="C30" s="2">
        <v>25</v>
      </c>
      <c r="D30" s="2" t="s">
        <v>11</v>
      </c>
      <c r="E30" s="2" t="s">
        <v>12</v>
      </c>
      <c r="F30" s="2" t="s">
        <v>22</v>
      </c>
      <c r="G30" s="2" t="s">
        <v>77</v>
      </c>
      <c r="H30" s="2">
        <v>1</v>
      </c>
      <c r="I30" s="3">
        <v>110</v>
      </c>
      <c r="J30" s="2">
        <f t="shared" si="0"/>
        <v>110</v>
      </c>
    </row>
    <row r="31" spans="1:10" x14ac:dyDescent="0.3">
      <c r="A31" s="1">
        <v>45687</v>
      </c>
      <c r="B31" s="2" t="s">
        <v>78</v>
      </c>
      <c r="C31" s="2">
        <v>36</v>
      </c>
      <c r="D31" s="2" t="s">
        <v>16</v>
      </c>
      <c r="E31" s="2" t="s">
        <v>17</v>
      </c>
      <c r="F31" s="2" t="s">
        <v>13</v>
      </c>
      <c r="G31" s="2" t="s">
        <v>79</v>
      </c>
      <c r="H31" s="2">
        <v>1</v>
      </c>
      <c r="I31" s="3">
        <v>80</v>
      </c>
      <c r="J31" s="2">
        <f t="shared" si="0"/>
        <v>80</v>
      </c>
    </row>
    <row r="32" spans="1:10" x14ac:dyDescent="0.3">
      <c r="A32" s="1">
        <v>45688</v>
      </c>
      <c r="B32" s="2" t="s">
        <v>80</v>
      </c>
      <c r="C32" s="2">
        <v>29</v>
      </c>
      <c r="D32" s="2" t="s">
        <v>11</v>
      </c>
      <c r="E32" s="2" t="s">
        <v>21</v>
      </c>
      <c r="F32" s="2" t="s">
        <v>28</v>
      </c>
      <c r="G32" s="2" t="s">
        <v>81</v>
      </c>
      <c r="H32" s="2">
        <v>2</v>
      </c>
      <c r="I32" s="3">
        <v>20</v>
      </c>
      <c r="J32" s="2">
        <f t="shared" si="0"/>
        <v>40</v>
      </c>
    </row>
    <row r="33" spans="1:10" x14ac:dyDescent="0.3">
      <c r="A33" s="1">
        <v>45689</v>
      </c>
      <c r="B33" s="2" t="s">
        <v>82</v>
      </c>
      <c r="C33" s="2">
        <v>34</v>
      </c>
      <c r="D33" s="2" t="s">
        <v>16</v>
      </c>
      <c r="E33" s="2" t="s">
        <v>25</v>
      </c>
      <c r="F33" s="2" t="s">
        <v>18</v>
      </c>
      <c r="G33" s="2" t="s">
        <v>83</v>
      </c>
      <c r="H33" s="2">
        <v>1</v>
      </c>
      <c r="I33" s="3">
        <v>70</v>
      </c>
      <c r="J33" s="2">
        <f t="shared" si="0"/>
        <v>70</v>
      </c>
    </row>
    <row r="34" spans="1:10" x14ac:dyDescent="0.3">
      <c r="A34" s="1">
        <v>45690</v>
      </c>
      <c r="B34" s="2" t="s">
        <v>84</v>
      </c>
      <c r="C34" s="2">
        <v>27</v>
      </c>
      <c r="D34" s="2" t="s">
        <v>11</v>
      </c>
      <c r="E34" s="2" t="s">
        <v>12</v>
      </c>
      <c r="F34" s="2" t="s">
        <v>13</v>
      </c>
      <c r="G34" s="2" t="s">
        <v>85</v>
      </c>
      <c r="H34" s="2">
        <v>1</v>
      </c>
      <c r="I34" s="3">
        <v>300</v>
      </c>
      <c r="J34" s="2">
        <f t="shared" si="0"/>
        <v>300</v>
      </c>
    </row>
    <row r="35" spans="1:10" x14ac:dyDescent="0.3">
      <c r="A35" s="1">
        <v>45691</v>
      </c>
      <c r="B35" s="2" t="s">
        <v>86</v>
      </c>
      <c r="C35" s="2">
        <v>35</v>
      </c>
      <c r="D35" s="2" t="s">
        <v>16</v>
      </c>
      <c r="E35" s="2" t="s">
        <v>17</v>
      </c>
      <c r="F35" s="2" t="s">
        <v>28</v>
      </c>
      <c r="G35" s="2" t="s">
        <v>87</v>
      </c>
      <c r="H35" s="2">
        <v>1</v>
      </c>
      <c r="I35" s="3">
        <v>60</v>
      </c>
      <c r="J35" s="2">
        <f t="shared" si="0"/>
        <v>60</v>
      </c>
    </row>
    <row r="36" spans="1:10" x14ac:dyDescent="0.3">
      <c r="A36" s="1">
        <v>45692</v>
      </c>
      <c r="B36" s="2" t="s">
        <v>88</v>
      </c>
      <c r="C36" s="2">
        <v>30</v>
      </c>
      <c r="D36" s="2" t="s">
        <v>11</v>
      </c>
      <c r="E36" s="2" t="s">
        <v>21</v>
      </c>
      <c r="F36" s="2" t="s">
        <v>22</v>
      </c>
      <c r="G36" s="2" t="s">
        <v>89</v>
      </c>
      <c r="H36" s="2">
        <v>1</v>
      </c>
      <c r="I36" s="3">
        <v>90</v>
      </c>
      <c r="J36" s="2">
        <f t="shared" si="0"/>
        <v>90</v>
      </c>
    </row>
    <row r="37" spans="1:10" x14ac:dyDescent="0.3">
      <c r="A37" s="1">
        <v>45693</v>
      </c>
      <c r="B37" s="2" t="s">
        <v>90</v>
      </c>
      <c r="C37" s="2">
        <v>32</v>
      </c>
      <c r="D37" s="2" t="s">
        <v>16</v>
      </c>
      <c r="E37" s="2" t="s">
        <v>25</v>
      </c>
      <c r="F37" s="2" t="s">
        <v>13</v>
      </c>
      <c r="G37" s="2" t="s">
        <v>91</v>
      </c>
      <c r="H37" s="2">
        <v>2</v>
      </c>
      <c r="I37" s="3">
        <v>40</v>
      </c>
      <c r="J37" s="2">
        <f t="shared" si="0"/>
        <v>80</v>
      </c>
    </row>
    <row r="38" spans="1:10" x14ac:dyDescent="0.3">
      <c r="A38" s="1">
        <v>45694</v>
      </c>
      <c r="B38" s="2" t="s">
        <v>92</v>
      </c>
      <c r="C38" s="2">
        <v>41</v>
      </c>
      <c r="D38" s="2" t="s">
        <v>11</v>
      </c>
      <c r="E38" s="2" t="s">
        <v>12</v>
      </c>
      <c r="F38" s="2" t="s">
        <v>18</v>
      </c>
      <c r="G38" s="2" t="s">
        <v>93</v>
      </c>
      <c r="H38" s="2">
        <v>1</v>
      </c>
      <c r="I38" s="3">
        <v>25</v>
      </c>
      <c r="J38" s="2">
        <f t="shared" si="0"/>
        <v>25</v>
      </c>
    </row>
    <row r="39" spans="1:10" x14ac:dyDescent="0.3">
      <c r="A39" s="1">
        <v>45695</v>
      </c>
      <c r="B39" s="2" t="s">
        <v>94</v>
      </c>
      <c r="C39" s="2">
        <v>26</v>
      </c>
      <c r="D39" s="2" t="s">
        <v>16</v>
      </c>
      <c r="E39" s="2" t="s">
        <v>17</v>
      </c>
      <c r="F39" s="2" t="s">
        <v>13</v>
      </c>
      <c r="G39" s="2" t="s">
        <v>95</v>
      </c>
      <c r="H39" s="2">
        <v>1</v>
      </c>
      <c r="I39" s="3">
        <v>150</v>
      </c>
      <c r="J39" s="2">
        <f t="shared" si="0"/>
        <v>150</v>
      </c>
    </row>
    <row r="40" spans="1:10" x14ac:dyDescent="0.3">
      <c r="A40" s="1">
        <v>45696</v>
      </c>
      <c r="B40" s="2" t="s">
        <v>96</v>
      </c>
      <c r="C40" s="2">
        <v>28</v>
      </c>
      <c r="D40" s="2" t="s">
        <v>11</v>
      </c>
      <c r="E40" s="2" t="s">
        <v>21</v>
      </c>
      <c r="F40" s="2" t="s">
        <v>28</v>
      </c>
      <c r="G40" s="2" t="s">
        <v>97</v>
      </c>
      <c r="H40" s="2">
        <v>2</v>
      </c>
      <c r="I40" s="3">
        <v>15</v>
      </c>
      <c r="J40" s="2">
        <f t="shared" si="0"/>
        <v>30</v>
      </c>
    </row>
    <row r="41" spans="1:10" x14ac:dyDescent="0.3">
      <c r="A41" s="1">
        <v>45697</v>
      </c>
      <c r="B41" s="2" t="s">
        <v>98</v>
      </c>
      <c r="C41" s="2">
        <v>40</v>
      </c>
      <c r="D41" s="2" t="s">
        <v>16</v>
      </c>
      <c r="E41" s="2" t="s">
        <v>25</v>
      </c>
      <c r="F41" s="2" t="s">
        <v>22</v>
      </c>
      <c r="G41" s="2" t="s">
        <v>99</v>
      </c>
      <c r="H41" s="2">
        <v>1</v>
      </c>
      <c r="I41" s="3">
        <v>50</v>
      </c>
      <c r="J41" s="2">
        <f t="shared" si="0"/>
        <v>50</v>
      </c>
    </row>
    <row r="42" spans="1:10" x14ac:dyDescent="0.3">
      <c r="A42" s="1">
        <v>45698</v>
      </c>
      <c r="B42" s="2" t="s">
        <v>100</v>
      </c>
      <c r="C42" s="2">
        <v>29</v>
      </c>
      <c r="D42" s="2" t="s">
        <v>11</v>
      </c>
      <c r="E42" s="2" t="s">
        <v>12</v>
      </c>
      <c r="F42" s="2" t="s">
        <v>13</v>
      </c>
      <c r="G42" s="2" t="s">
        <v>101</v>
      </c>
      <c r="H42" s="2">
        <v>3</v>
      </c>
      <c r="I42" s="3">
        <v>10</v>
      </c>
      <c r="J42" s="2">
        <f t="shared" si="0"/>
        <v>30</v>
      </c>
    </row>
    <row r="43" spans="1:10" x14ac:dyDescent="0.3">
      <c r="A43" s="1">
        <v>45699</v>
      </c>
      <c r="B43" s="2" t="s">
        <v>102</v>
      </c>
      <c r="C43" s="2">
        <v>33</v>
      </c>
      <c r="D43" s="2" t="s">
        <v>16</v>
      </c>
      <c r="E43" s="2" t="s">
        <v>17</v>
      </c>
      <c r="F43" s="2" t="s">
        <v>18</v>
      </c>
      <c r="G43" s="2" t="s">
        <v>103</v>
      </c>
      <c r="H43" s="2">
        <v>2</v>
      </c>
      <c r="I43" s="3">
        <v>30</v>
      </c>
      <c r="J43" s="2">
        <f t="shared" si="0"/>
        <v>60</v>
      </c>
    </row>
    <row r="44" spans="1:10" x14ac:dyDescent="0.3">
      <c r="A44" s="1">
        <v>45700</v>
      </c>
      <c r="B44" s="2" t="s">
        <v>104</v>
      </c>
      <c r="C44" s="2">
        <v>24</v>
      </c>
      <c r="D44" s="2" t="s">
        <v>11</v>
      </c>
      <c r="E44" s="2" t="s">
        <v>21</v>
      </c>
      <c r="F44" s="2" t="s">
        <v>28</v>
      </c>
      <c r="G44" s="2" t="s">
        <v>105</v>
      </c>
      <c r="H44" s="2">
        <v>1</v>
      </c>
      <c r="I44" s="3">
        <v>25</v>
      </c>
      <c r="J44" s="2">
        <f t="shared" si="0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Nelson Jebaraj</cp:lastModifiedBy>
  <dcterms:created xsi:type="dcterms:W3CDTF">2025-11-08T04:31:58Z</dcterms:created>
  <dcterms:modified xsi:type="dcterms:W3CDTF">2025-11-09T16:43:58Z</dcterms:modified>
</cp:coreProperties>
</file>